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slib-my.sharepoint.com/personal/radomir_mendri_022_pslib_cz/Documents/"/>
    </mc:Choice>
  </mc:AlternateContent>
  <xr:revisionPtr revIDLastSave="18" documentId="8_{D93F0CD9-F4DA-425A-9D50-1ED3A1CA846F}" xr6:coauthVersionLast="47" xr6:coauthVersionMax="47" xr10:uidLastSave="{4E4372B4-3C58-418D-8694-A9ADCEF12B55}"/>
  <bookViews>
    <workbookView xWindow="-108" yWindow="-108" windowWidth="23256" windowHeight="12456" xr2:uid="{D275CAFB-CA54-4516-B9D3-F638CF05855A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7" i="1" l="1"/>
  <c r="O17" i="1"/>
  <c r="H26" i="1"/>
  <c r="H25" i="1"/>
  <c r="I22" i="1"/>
  <c r="I26" i="1" s="1"/>
  <c r="H22" i="1"/>
  <c r="I10" i="1"/>
  <c r="I14" i="1"/>
  <c r="I15" i="1"/>
  <c r="H10" i="1"/>
  <c r="H13" i="1"/>
  <c r="H14" i="1"/>
  <c r="I27" i="1" l="1"/>
  <c r="M14" i="1" s="1"/>
  <c r="O20" i="1" s="1"/>
</calcChain>
</file>

<file path=xl/sharedStrings.xml><?xml version="1.0" encoding="utf-8"?>
<sst xmlns="http://schemas.openxmlformats.org/spreadsheetml/2006/main" count="32" uniqueCount="21">
  <si>
    <t>Nákladová položka</t>
  </si>
  <si>
    <t>Účinnost přeměny</t>
  </si>
  <si>
    <t>Palivový náklad (na 1 MWh tepla)</t>
  </si>
  <si>
    <t>Emisní náklad (na 1 MWh tepla)</t>
  </si>
  <si>
    <t>ROZDÍL (Prostor pro splátku CAPEX)</t>
  </si>
  <si>
    <t>Plynový kotel</t>
  </si>
  <si>
    <t>TES  - Nákup arbitráž</t>
  </si>
  <si>
    <t>EUR/MWh</t>
  </si>
  <si>
    <t>CELKOVÝ PROVOZNÍ LCOH [EUR]</t>
  </si>
  <si>
    <t>Cena paliva [EUR/MWh]</t>
  </si>
  <si>
    <t>Emisní faktor (na 1 MWh tepla) [t CO2]</t>
  </si>
  <si>
    <t>Cena povolenky ETS [ EUR/t ]</t>
  </si>
  <si>
    <t>Distribuce elektřiny</t>
  </si>
  <si>
    <t xml:space="preserve">Distribuce elektřiny </t>
  </si>
  <si>
    <t>ROZDÍL</t>
  </si>
  <si>
    <t>Průměrná roční úspora / mWH</t>
  </si>
  <si>
    <t>roční spotřeba</t>
  </si>
  <si>
    <t>MWH</t>
  </si>
  <si>
    <t>Baterka</t>
  </si>
  <si>
    <t>Cena</t>
  </si>
  <si>
    <t>Celkem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</si>
</sst>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953FB-0626-4326-8587-63A1DEFD89A5}">
  <dimension ref="G6:S27"/>
  <sheetViews>
    <sheetView tabSelected="1" topLeftCell="C1" zoomScale="87" workbookViewId="0">
      <selection activeCell="I20" sqref="I20"/>
    </sheetView>
  </sheetViews>
  <sheetFormatPr defaultRowHeight="14.4" x14ac:dyDescent="0.3"/>
  <cols>
    <col min="7" max="7" width="36.44140625" customWidth="1"/>
    <col min="8" max="8" width="19" customWidth="1"/>
    <col min="9" max="9" width="25.44140625" customWidth="1"/>
    <col min="13" max="13" width="29.44140625" customWidth="1"/>
  </cols>
  <sheetData>
    <row r="6" spans="7:19" x14ac:dyDescent="0.3">
      <c r="G6" t="s">
        <v>0</v>
      </c>
      <c r="H6" t="s">
        <v>5</v>
      </c>
      <c r="I6" t="s">
        <v>6</v>
      </c>
    </row>
    <row r="7" spans="7:19" x14ac:dyDescent="0.3">
      <c r="G7" t="s">
        <v>9</v>
      </c>
      <c r="H7">
        <v>33</v>
      </c>
      <c r="I7">
        <v>10</v>
      </c>
    </row>
    <row r="8" spans="7:19" x14ac:dyDescent="0.3">
      <c r="G8" t="s">
        <v>13</v>
      </c>
      <c r="H8">
        <v>0</v>
      </c>
      <c r="I8">
        <v>3</v>
      </c>
    </row>
    <row r="9" spans="7:19" x14ac:dyDescent="0.3">
      <c r="G9" t="s">
        <v>1</v>
      </c>
      <c r="H9" s="1">
        <v>0.98</v>
      </c>
      <c r="I9" s="1">
        <v>0.99</v>
      </c>
    </row>
    <row r="10" spans="7:19" x14ac:dyDescent="0.3">
      <c r="G10" t="s">
        <v>2</v>
      </c>
      <c r="H10">
        <f>H7/H9</f>
        <v>33.673469387755105</v>
      </c>
      <c r="I10">
        <f>(I7+I8)/I9</f>
        <v>13.131313131313131</v>
      </c>
    </row>
    <row r="11" spans="7:19" x14ac:dyDescent="0.3">
      <c r="G11" t="s">
        <v>10</v>
      </c>
      <c r="H11">
        <v>0.222</v>
      </c>
      <c r="I11">
        <v>0</v>
      </c>
    </row>
    <row r="12" spans="7:19" x14ac:dyDescent="0.3">
      <c r="G12" t="s">
        <v>11</v>
      </c>
      <c r="H12">
        <v>80</v>
      </c>
      <c r="I12">
        <v>0</v>
      </c>
    </row>
    <row r="13" spans="7:19" x14ac:dyDescent="0.3">
      <c r="G13" t="s">
        <v>3</v>
      </c>
      <c r="H13">
        <f>H12*H11</f>
        <v>17.760000000000002</v>
      </c>
      <c r="I13">
        <v>0</v>
      </c>
      <c r="M13" t="s">
        <v>15</v>
      </c>
    </row>
    <row r="14" spans="7:19" x14ac:dyDescent="0.3">
      <c r="G14" t="s">
        <v>8</v>
      </c>
      <c r="H14">
        <f>H13+H10</f>
        <v>51.43346938775511</v>
      </c>
      <c r="I14">
        <f>I13+I10</f>
        <v>13.131313131313131</v>
      </c>
      <c r="M14">
        <f>AVERAGE(I27,I15)/2</f>
        <v>10.059999999999999</v>
      </c>
    </row>
    <row r="15" spans="7:19" x14ac:dyDescent="0.3">
      <c r="G15" t="s">
        <v>14</v>
      </c>
      <c r="I15">
        <f>ROUND(H14-I14,2)</f>
        <v>38.299999999999997</v>
      </c>
      <c r="J15" t="s">
        <v>7</v>
      </c>
    </row>
    <row r="16" spans="7:19" x14ac:dyDescent="0.3">
      <c r="M16" t="s">
        <v>16</v>
      </c>
      <c r="Q16" t="s">
        <v>18</v>
      </c>
      <c r="R16" t="s">
        <v>19</v>
      </c>
      <c r="S16" t="s">
        <v>20</v>
      </c>
    </row>
    <row r="17" spans="7:19" x14ac:dyDescent="0.3">
      <c r="M17">
        <v>20000</v>
      </c>
      <c r="N17" t="s">
        <v>17</v>
      </c>
      <c r="O17">
        <f>M17/365</f>
        <v>54.794520547945204</v>
      </c>
      <c r="Q17">
        <v>55</v>
      </c>
      <c r="R17">
        <v>12000</v>
      </c>
      <c r="S17">
        <f>R17*Q17</f>
        <v>660000</v>
      </c>
    </row>
    <row r="18" spans="7:19" x14ac:dyDescent="0.3">
      <c r="G18" t="s">
        <v>0</v>
      </c>
      <c r="H18" t="s">
        <v>5</v>
      </c>
      <c r="I18" t="s">
        <v>6</v>
      </c>
    </row>
    <row r="19" spans="7:19" x14ac:dyDescent="0.3">
      <c r="G19" t="s">
        <v>9</v>
      </c>
      <c r="H19">
        <v>33</v>
      </c>
      <c r="I19">
        <v>46</v>
      </c>
    </row>
    <row r="20" spans="7:19" x14ac:dyDescent="0.3">
      <c r="G20" t="s">
        <v>12</v>
      </c>
      <c r="H20">
        <v>0</v>
      </c>
      <c r="I20">
        <v>3</v>
      </c>
      <c r="O20">
        <f>O17*M14*365</f>
        <v>201199.99999999997</v>
      </c>
    </row>
    <row r="21" spans="7:19" x14ac:dyDescent="0.3">
      <c r="G21" t="s">
        <v>1</v>
      </c>
      <c r="H21" s="1">
        <v>0.98</v>
      </c>
      <c r="I21" s="1">
        <v>0.99</v>
      </c>
    </row>
    <row r="22" spans="7:19" x14ac:dyDescent="0.3">
      <c r="G22" t="s">
        <v>2</v>
      </c>
      <c r="H22">
        <f>H19/H21</f>
        <v>33.673469387755105</v>
      </c>
      <c r="I22">
        <f>(I19+I20)/I21</f>
        <v>49.494949494949495</v>
      </c>
    </row>
    <row r="23" spans="7:19" x14ac:dyDescent="0.3">
      <c r="G23" t="s">
        <v>10</v>
      </c>
      <c r="H23">
        <v>0.222</v>
      </c>
      <c r="I23">
        <v>0</v>
      </c>
    </row>
    <row r="24" spans="7:19" x14ac:dyDescent="0.3">
      <c r="G24" t="s">
        <v>11</v>
      </c>
      <c r="H24">
        <v>80</v>
      </c>
      <c r="I24">
        <v>0</v>
      </c>
    </row>
    <row r="25" spans="7:19" x14ac:dyDescent="0.3">
      <c r="G25" t="s">
        <v>3</v>
      </c>
      <c r="H25">
        <f>H24*H23</f>
        <v>17.760000000000002</v>
      </c>
      <c r="I25">
        <v>0</v>
      </c>
    </row>
    <row r="26" spans="7:19" x14ac:dyDescent="0.3">
      <c r="G26" t="s">
        <v>8</v>
      </c>
      <c r="H26">
        <f>H25+H22</f>
        <v>51.43346938775511</v>
      </c>
      <c r="I26">
        <f>I25+I22</f>
        <v>49.494949494949495</v>
      </c>
    </row>
    <row r="27" spans="7:19" x14ac:dyDescent="0.3">
      <c r="G27" t="s">
        <v>4</v>
      </c>
      <c r="I27">
        <f>ROUND(H26-I26,2)</f>
        <v>1.94</v>
      </c>
      <c r="J27" t="s">
        <v>7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Radomír M</dc:creator>
  <cp:lastModifiedBy>Mendřický Radomír (2022)</cp:lastModifiedBy>
  <dcterms:created xsi:type="dcterms:W3CDTF">2025-11-07T12:00:38Z</dcterms:created>
  <dcterms:modified xsi:type="dcterms:W3CDTF">2025-11-07T14:14:52Z</dcterms:modified>
</cp:coreProperties>
</file>